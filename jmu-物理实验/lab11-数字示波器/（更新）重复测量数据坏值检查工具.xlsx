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5600" windowHeight="1176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G6" i="1"/>
  <c r="I6" s="1"/>
  <c r="F6"/>
  <c r="H9" s="1"/>
  <c r="H6" l="1"/>
  <c r="H10"/>
  <c r="H12"/>
  <c r="H8"/>
  <c r="H11"/>
  <c r="H7"/>
  <c r="H13"/>
</calcChain>
</file>

<file path=xl/sharedStrings.xml><?xml version="1.0" encoding="utf-8"?>
<sst xmlns="http://schemas.openxmlformats.org/spreadsheetml/2006/main" count="14" uniqueCount="14">
  <si>
    <t>肖维涅系数</t>
  </si>
  <si>
    <t>C7</t>
  </si>
  <si>
    <t>C8</t>
  </si>
  <si>
    <t>周期T</t>
  </si>
  <si>
    <t>周期平均值</t>
  </si>
  <si>
    <t>标准偏差Sx</t>
  </si>
  <si>
    <t>偏差绝对值(Xi-平均值）</t>
  </si>
  <si>
    <t>C8*Sx</t>
  </si>
  <si>
    <t>使用步骤：</t>
  </si>
  <si>
    <t>2.比较H列偏差绝对值和I列C8*Sx的大小</t>
    <phoneticPr fontId="3" type="noConversion"/>
  </si>
  <si>
    <r>
      <t>3.如果H列每个偏差绝对值都&lt;C8*Sx，则都没有坏值。</t>
    </r>
    <r>
      <rPr>
        <sz val="11"/>
        <color rgb="FFFF0000"/>
        <rFont val="宋体"/>
        <family val="3"/>
        <charset val="134"/>
        <scheme val="minor"/>
      </rPr>
      <t>如上面的例子。写上：用肖维涅准则对表1重复测量的周期数据进行检查，没有发现坏值。</t>
    </r>
    <phoneticPr fontId="3" type="noConversion"/>
  </si>
  <si>
    <t>1.把测量的周期数据填到D6-D13行，然后鼠标单击其他地方，软件会自动计算出周期平均值、标准偏差，偏差绝对值，c8sx等；</t>
    <phoneticPr fontId="3" type="noConversion"/>
  </si>
  <si>
    <t>用肖维涅准则对重复测量数据进行坏值检查</t>
    <phoneticPr fontId="3" type="noConversion"/>
  </si>
  <si>
    <r>
      <t>4.如果有测量数据的偏差绝对值&gt;C8*Sx，则对应的测量数据是坏值，应删掉这个测量数据，对余下的数据再检查，直至没有坏值。</t>
    </r>
    <r>
      <rPr>
        <sz val="11"/>
        <color rgb="FFFF0000"/>
        <rFont val="宋体"/>
        <family val="3"/>
        <charset val="134"/>
        <scheme val="minor"/>
      </rPr>
      <t>则写上：用肖维涅准则对表1重复测量的周期进行检查，发现哪个数据是坏值，剔除后再查，没有发现坏值。</t>
    </r>
    <phoneticPr fontId="3" type="noConversion"/>
  </si>
</sst>
</file>

<file path=xl/styles.xml><?xml version="1.0" encoding="utf-8"?>
<styleSheet xmlns="http://schemas.openxmlformats.org/spreadsheetml/2006/main">
  <numFmts count="1">
    <numFmt numFmtId="176" formatCode="0.0000_ "/>
  </numFmts>
  <fonts count="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8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K24"/>
  <sheetViews>
    <sheetView tabSelected="1" topLeftCell="A2" zoomScale="86" zoomScaleNormal="86" workbookViewId="0">
      <selection activeCell="D6" sqref="D6:D13"/>
    </sheetView>
  </sheetViews>
  <sheetFormatPr defaultColWidth="9" defaultRowHeight="13.5"/>
  <cols>
    <col min="6" max="7" width="12.625"/>
    <col min="8" max="8" width="23.375" customWidth="1"/>
    <col min="9" max="9" width="14.625" customWidth="1"/>
    <col min="11" max="11" width="15.25" customWidth="1"/>
  </cols>
  <sheetData>
    <row r="1" spans="2:11" ht="47.25" customHeight="1">
      <c r="B1" s="5" t="s">
        <v>12</v>
      </c>
      <c r="C1" s="5"/>
      <c r="D1" s="5"/>
      <c r="E1" s="5"/>
      <c r="F1" s="6"/>
      <c r="G1" s="6"/>
    </row>
    <row r="2" spans="2:11" ht="33" customHeight="1">
      <c r="F2" s="1" t="s">
        <v>0</v>
      </c>
      <c r="G2" s="2" t="s">
        <v>1</v>
      </c>
      <c r="H2" s="2" t="s">
        <v>2</v>
      </c>
    </row>
    <row r="3" spans="2:11" ht="21" customHeight="1">
      <c r="F3" s="1"/>
      <c r="G3" s="2">
        <v>1.8</v>
      </c>
      <c r="H3" s="2">
        <v>1.86</v>
      </c>
    </row>
    <row r="5" spans="2:11" ht="27" customHeight="1">
      <c r="D5" s="1" t="s">
        <v>3</v>
      </c>
      <c r="E5" s="1"/>
      <c r="F5" s="1" t="s">
        <v>4</v>
      </c>
      <c r="G5" s="1" t="s">
        <v>5</v>
      </c>
      <c r="H5" s="1" t="s">
        <v>6</v>
      </c>
      <c r="I5" s="1" t="s">
        <v>7</v>
      </c>
      <c r="K5" s="1"/>
    </row>
    <row r="6" spans="2:11">
      <c r="D6" s="10">
        <v>4.12</v>
      </c>
      <c r="E6" s="4"/>
      <c r="F6" s="3">
        <f>AVERAGE(D6:D13)</f>
        <v>4.1217125000000001</v>
      </c>
      <c r="G6" s="3">
        <f>STDEVA(D6:D13)</f>
        <v>1.1740497677453863E-3</v>
      </c>
      <c r="H6" s="3">
        <f>ABS(D6-$F$6)</f>
        <v>1.7125000000000057E-3</v>
      </c>
      <c r="I6" s="4">
        <f>H3*$G$6</f>
        <v>2.1837325680064187E-3</v>
      </c>
      <c r="K6" s="7"/>
    </row>
    <row r="7" spans="2:11">
      <c r="D7" s="11">
        <v>4.1201999999999996</v>
      </c>
      <c r="E7" s="4"/>
      <c r="F7" s="4"/>
      <c r="G7" s="4"/>
      <c r="H7" s="3">
        <f t="shared" ref="H7:H13" si="0">ABS(D7-$F$6)</f>
        <v>1.5125000000004718E-3</v>
      </c>
      <c r="I7" s="4"/>
      <c r="K7" s="7"/>
    </row>
    <row r="8" spans="2:11">
      <c r="D8" s="11">
        <v>4.1211000000000002</v>
      </c>
      <c r="E8" s="4"/>
      <c r="F8" s="4"/>
      <c r="G8" s="4"/>
      <c r="H8" s="3">
        <f t="shared" si="0"/>
        <v>6.1249999999990479E-4</v>
      </c>
      <c r="I8" s="4"/>
      <c r="K8" s="7"/>
    </row>
    <row r="9" spans="2:11">
      <c r="D9" s="11">
        <v>4.1220999999999997</v>
      </c>
      <c r="E9" s="4"/>
      <c r="F9" s="4"/>
      <c r="G9" s="4"/>
      <c r="H9" s="3">
        <f t="shared" si="0"/>
        <v>3.8749999999954099E-4</v>
      </c>
      <c r="I9" s="4"/>
      <c r="K9" s="7"/>
    </row>
    <row r="10" spans="2:11">
      <c r="D10" s="10">
        <v>4.1234000000000002</v>
      </c>
      <c r="E10" s="4"/>
      <c r="F10" s="4"/>
      <c r="G10" s="4"/>
      <c r="H10" s="3">
        <f t="shared" si="0"/>
        <v>1.6875000000000639E-3</v>
      </c>
      <c r="I10" s="4"/>
      <c r="K10" s="7"/>
    </row>
    <row r="11" spans="2:11">
      <c r="D11" s="11">
        <v>4.1223999999999998</v>
      </c>
      <c r="E11" s="4"/>
      <c r="F11" s="4"/>
      <c r="G11" s="4"/>
      <c r="H11" s="3">
        <f t="shared" si="0"/>
        <v>6.8749999999972999E-4</v>
      </c>
      <c r="I11" s="4"/>
      <c r="K11" s="7"/>
    </row>
    <row r="12" spans="2:11">
      <c r="D12" s="11">
        <v>4.1222000000000003</v>
      </c>
      <c r="E12" s="4"/>
      <c r="F12" s="4"/>
      <c r="G12" s="4"/>
      <c r="H12" s="3">
        <f t="shared" si="0"/>
        <v>4.8750000000019611E-4</v>
      </c>
      <c r="I12" s="4"/>
      <c r="K12" s="7"/>
    </row>
    <row r="13" spans="2:11">
      <c r="D13" s="11">
        <v>4.1223000000000001</v>
      </c>
      <c r="H13" s="3">
        <f t="shared" si="0"/>
        <v>5.8749999999996305E-4</v>
      </c>
    </row>
    <row r="19" spans="2:11">
      <c r="B19" t="s">
        <v>8</v>
      </c>
    </row>
    <row r="20" spans="2:11" ht="9" customHeight="1"/>
    <row r="21" spans="2:11" ht="23.25" customHeight="1">
      <c r="B21" t="s">
        <v>11</v>
      </c>
    </row>
    <row r="22" spans="2:11" ht="21" customHeight="1">
      <c r="B22" t="s">
        <v>9</v>
      </c>
    </row>
    <row r="23" spans="2:11" ht="24.75" customHeight="1">
      <c r="B23" s="8" t="s">
        <v>10</v>
      </c>
      <c r="C23" s="9"/>
      <c r="D23" s="9"/>
      <c r="E23" s="9"/>
      <c r="F23" s="9"/>
      <c r="G23" s="9"/>
      <c r="H23" s="9"/>
      <c r="I23" s="9"/>
      <c r="J23" s="9"/>
      <c r="K23" s="9"/>
    </row>
    <row r="24" spans="2:11" ht="49.5" customHeight="1">
      <c r="B24" s="8" t="s">
        <v>13</v>
      </c>
      <c r="C24" s="9"/>
      <c r="D24" s="9"/>
      <c r="E24" s="9"/>
      <c r="F24" s="9"/>
      <c r="G24" s="9"/>
      <c r="H24" s="9"/>
      <c r="I24" s="9"/>
      <c r="J24" s="9"/>
      <c r="K24" s="9"/>
    </row>
  </sheetData>
  <mergeCells count="3">
    <mergeCell ref="K6:K12"/>
    <mergeCell ref="B24:K24"/>
    <mergeCell ref="B23:K23"/>
  </mergeCells>
  <phoneticPr fontId="3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windwos7</cp:lastModifiedBy>
  <dcterms:created xsi:type="dcterms:W3CDTF">2024-03-26T11:43:00Z</dcterms:created>
  <dcterms:modified xsi:type="dcterms:W3CDTF">2025-04-26T07:17:54Z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079B7FEB29014DF68678650C0284AD8C</vt:lpwstr>
  </property>
  <property fmtid="{D5CDD505-2E9C-101B-9397-08002B2CF9AE}" pid="3" name="KSOProductBuildVer">
    <vt:lpwstr>2052-11.8.6.11825</vt:lpwstr>
  </property>
</Properties>
</file>